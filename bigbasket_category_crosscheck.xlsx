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n">
        <v>12</v>
      </c>
      <c r="D2" t="n">
        <v>2160</v>
      </c>
      <c r="E2" t="n">
        <v>180</v>
      </c>
    </row>
    <row r="3">
      <c r="A3" t="inlineStr">
        <is>
          <t>Bakery</t>
        </is>
      </c>
      <c r="B3" t="inlineStr">
        <is>
          <t>2026-02</t>
        </is>
      </c>
      <c r="C3" t="n">
        <v>10</v>
      </c>
      <c r="D3" t="n">
        <v>4795</v>
      </c>
      <c r="E3" t="n">
        <v>479.5</v>
      </c>
    </row>
    <row r="4">
      <c r="A4" t="inlineStr">
        <is>
          <t>Bakery</t>
        </is>
      </c>
      <c r="B4" t="inlineStr">
        <is>
          <t>2026-03</t>
        </is>
      </c>
      <c r="C4" t="n">
        <v>8</v>
      </c>
      <c r="D4" t="n">
        <v>2250</v>
      </c>
      <c r="E4" t="n">
        <v>281.25</v>
      </c>
    </row>
    <row r="5">
      <c r="A5" t="inlineStr">
        <is>
          <t>Bakery</t>
        </is>
      </c>
      <c r="B5" t="inlineStr">
        <is>
          <t>2026-04</t>
        </is>
      </c>
      <c r="C5" t="n">
        <v>7</v>
      </c>
      <c r="D5" t="n">
        <v>1940</v>
      </c>
      <c r="E5" t="n">
        <v>277.14</v>
      </c>
    </row>
    <row r="6">
      <c r="A6" t="inlineStr">
        <is>
          <t>Bakery</t>
        </is>
      </c>
      <c r="B6" t="inlineStr">
        <is>
          <t>2026-05</t>
        </is>
      </c>
      <c r="C6" t="n">
        <v>8</v>
      </c>
      <c r="D6" t="n">
        <v>2615</v>
      </c>
      <c r="E6" t="n">
        <v>326.88</v>
      </c>
    </row>
    <row r="7">
      <c r="A7" t="inlineStr">
        <is>
          <t>Bakery</t>
        </is>
      </c>
      <c r="B7" t="inlineStr">
        <is>
          <t>2026-06</t>
        </is>
      </c>
      <c r="C7" t="n">
        <v>11</v>
      </c>
      <c r="D7" t="n">
        <v>2525</v>
      </c>
      <c r="E7" t="n">
        <v>229.55</v>
      </c>
    </row>
    <row r="8">
      <c r="A8" t="inlineStr">
        <is>
          <t>Dairy &amp; Eggs</t>
        </is>
      </c>
      <c r="B8" t="inlineStr">
        <is>
          <t>2026-01</t>
        </is>
      </c>
      <c r="C8" t="n">
        <v>10</v>
      </c>
      <c r="D8" t="n">
        <v>1547</v>
      </c>
      <c r="E8" t="n">
        <v>154.7</v>
      </c>
    </row>
    <row r="9">
      <c r="A9" t="inlineStr">
        <is>
          <t>Dairy &amp; Eggs</t>
        </is>
      </c>
      <c r="B9" t="inlineStr">
        <is>
          <t>2026-02</t>
        </is>
      </c>
      <c r="C9" t="n">
        <v>11</v>
      </c>
      <c r="D9" t="n">
        <v>2099</v>
      </c>
      <c r="E9" t="n">
        <v>190.82</v>
      </c>
    </row>
    <row r="10">
      <c r="A10" t="inlineStr">
        <is>
          <t>Dairy &amp; Eggs</t>
        </is>
      </c>
      <c r="B10" t="inlineStr">
        <is>
          <t>2026-03</t>
        </is>
      </c>
      <c r="C10" t="n">
        <v>9</v>
      </c>
      <c r="D10" t="n">
        <v>1539</v>
      </c>
      <c r="E10" t="n">
        <v>171</v>
      </c>
    </row>
    <row r="11">
      <c r="A11" t="inlineStr">
        <is>
          <t>Dairy &amp; Eggs</t>
        </is>
      </c>
      <c r="B11" t="inlineStr">
        <is>
          <t>2026-04</t>
        </is>
      </c>
      <c r="C11" t="n">
        <v>12</v>
      </c>
      <c r="D11" t="n">
        <v>2637</v>
      </c>
      <c r="E11" t="n">
        <v>219.75</v>
      </c>
    </row>
    <row r="12">
      <c r="A12" t="inlineStr">
        <is>
          <t>Dairy &amp; Eggs</t>
        </is>
      </c>
      <c r="B12" t="inlineStr">
        <is>
          <t>2026-05</t>
        </is>
      </c>
      <c r="C12" t="n">
        <v>12</v>
      </c>
      <c r="D12" t="n">
        <v>2525</v>
      </c>
      <c r="E12" t="n">
        <v>210.42</v>
      </c>
    </row>
    <row r="13">
      <c r="A13" t="inlineStr">
        <is>
          <t>Dairy &amp; Eggs</t>
        </is>
      </c>
      <c r="B13" t="inlineStr">
        <is>
          <t>2026-06</t>
        </is>
      </c>
      <c r="C13" t="n">
        <v>15</v>
      </c>
      <c r="D13" t="n">
        <v>2779</v>
      </c>
      <c r="E13" t="n">
        <v>185.27</v>
      </c>
    </row>
    <row r="14">
      <c r="A14" t="inlineStr">
        <is>
          <t>Fruits &amp; Vegetables</t>
        </is>
      </c>
      <c r="B14" t="inlineStr">
        <is>
          <t>2026-01</t>
        </is>
      </c>
      <c r="C14" t="n">
        <v>12</v>
      </c>
      <c r="D14" t="n">
        <v>1950</v>
      </c>
      <c r="E14" t="n">
        <v>162.5</v>
      </c>
    </row>
    <row r="15">
      <c r="A15" t="inlineStr">
        <is>
          <t>Fruits &amp; Vegetables</t>
        </is>
      </c>
      <c r="B15" t="inlineStr">
        <is>
          <t>2026-02</t>
        </is>
      </c>
      <c r="C15" t="n">
        <v>14</v>
      </c>
      <c r="D15" t="n">
        <v>2210</v>
      </c>
      <c r="E15" t="n">
        <v>157.86</v>
      </c>
    </row>
    <row r="16">
      <c r="A16" t="inlineStr">
        <is>
          <t>Fruits &amp; Vegetables</t>
        </is>
      </c>
      <c r="B16" t="inlineStr">
        <is>
          <t>2026-03</t>
        </is>
      </c>
      <c r="C16" t="n">
        <v>8</v>
      </c>
      <c r="D16" t="n">
        <v>970</v>
      </c>
      <c r="E16" t="n">
        <v>121.25</v>
      </c>
    </row>
    <row r="17">
      <c r="A17" t="inlineStr">
        <is>
          <t>Fruits &amp; Vegetables</t>
        </is>
      </c>
      <c r="B17" t="inlineStr">
        <is>
          <t>2026-04</t>
        </is>
      </c>
      <c r="C17" t="n">
        <v>15</v>
      </c>
      <c r="D17" t="n">
        <v>2830</v>
      </c>
      <c r="E17" t="n">
        <v>188.67</v>
      </c>
    </row>
    <row r="18">
      <c r="A18" t="inlineStr">
        <is>
          <t>Fruits &amp; Vegetables</t>
        </is>
      </c>
      <c r="B18" t="inlineStr">
        <is>
          <t>2026-05</t>
        </is>
      </c>
      <c r="C18" t="n">
        <v>12</v>
      </c>
      <c r="D18" t="n">
        <v>2050</v>
      </c>
      <c r="E18" t="n">
        <v>170.83</v>
      </c>
    </row>
    <row r="19">
      <c r="A19" t="inlineStr">
        <is>
          <t>Fruits &amp; Vegetables</t>
        </is>
      </c>
      <c r="B19" t="inlineStr">
        <is>
          <t>2026-06</t>
        </is>
      </c>
      <c r="C19" t="n">
        <v>7</v>
      </c>
      <c r="D19" t="n">
        <v>1410</v>
      </c>
      <c r="E19" t="n">
        <v>201.43</v>
      </c>
    </row>
    <row r="20">
      <c r="A20" t="inlineStr">
        <is>
          <t>Household Essentials</t>
        </is>
      </c>
      <c r="B20" t="inlineStr">
        <is>
          <t>2026-01</t>
        </is>
      </c>
      <c r="C20" t="n">
        <v>17</v>
      </c>
      <c r="D20" t="n">
        <v>7100</v>
      </c>
      <c r="E20" t="n">
        <v>417.65</v>
      </c>
    </row>
    <row r="21">
      <c r="A21" t="inlineStr">
        <is>
          <t>Household Essentials</t>
        </is>
      </c>
      <c r="B21" t="inlineStr">
        <is>
          <t>2026-02</t>
        </is>
      </c>
      <c r="C21" t="n">
        <v>17</v>
      </c>
      <c r="D21" t="n">
        <v>8520</v>
      </c>
      <c r="E21" t="n">
        <v>501.18</v>
      </c>
    </row>
    <row r="22">
      <c r="A22" t="inlineStr">
        <is>
          <t>Household Essentials</t>
        </is>
      </c>
      <c r="B22" t="inlineStr">
        <is>
          <t>2026-03</t>
        </is>
      </c>
      <c r="C22" t="n">
        <v>9</v>
      </c>
      <c r="D22" t="n">
        <v>2830</v>
      </c>
      <c r="E22" t="n">
        <v>314.44</v>
      </c>
    </row>
    <row r="23">
      <c r="A23" t="inlineStr">
        <is>
          <t>Household Essentials</t>
        </is>
      </c>
      <c r="B23" t="inlineStr">
        <is>
          <t>2026-04</t>
        </is>
      </c>
      <c r="C23" t="n">
        <v>16</v>
      </c>
      <c r="D23" t="n">
        <v>7195</v>
      </c>
      <c r="E23" t="n">
        <v>449.69</v>
      </c>
    </row>
    <row r="24">
      <c r="A24" t="inlineStr">
        <is>
          <t>Household Essentials</t>
        </is>
      </c>
      <c r="B24" t="inlineStr">
        <is>
          <t>2026-05</t>
        </is>
      </c>
      <c r="C24" t="n">
        <v>19</v>
      </c>
      <c r="D24" t="n">
        <v>6470</v>
      </c>
      <c r="E24" t="n">
        <v>340.53</v>
      </c>
    </row>
    <row r="25">
      <c r="A25" t="inlineStr">
        <is>
          <t>Household Essentials</t>
        </is>
      </c>
      <c r="B25" t="inlineStr">
        <is>
          <t>2026-06</t>
        </is>
      </c>
      <c r="C25" t="n">
        <v>12</v>
      </c>
      <c r="D25" t="n">
        <v>4090</v>
      </c>
      <c r="E25" t="n">
        <v>340.83</v>
      </c>
    </row>
    <row r="26">
      <c r="A26" t="inlineStr">
        <is>
          <t>Personal Care</t>
        </is>
      </c>
      <c r="B26" t="inlineStr">
        <is>
          <t>2026-01</t>
        </is>
      </c>
      <c r="C26" t="n">
        <v>7</v>
      </c>
      <c r="D26" t="n">
        <v>2290</v>
      </c>
      <c r="E26" t="n">
        <v>327.14</v>
      </c>
    </row>
    <row r="27">
      <c r="A27" t="inlineStr">
        <is>
          <t>Personal Care</t>
        </is>
      </c>
      <c r="B27" t="inlineStr">
        <is>
          <t>2026-02</t>
        </is>
      </c>
      <c r="C27" t="n">
        <v>11</v>
      </c>
      <c r="D27" t="n">
        <v>3010</v>
      </c>
      <c r="E27" t="n">
        <v>273.64</v>
      </c>
    </row>
    <row r="28">
      <c r="A28" t="inlineStr">
        <is>
          <t>Personal Care</t>
        </is>
      </c>
      <c r="B28" t="inlineStr">
        <is>
          <t>2026-03</t>
        </is>
      </c>
      <c r="C28" t="n">
        <v>18</v>
      </c>
      <c r="D28" t="n">
        <v>4515</v>
      </c>
      <c r="E28" t="n">
        <v>250.83</v>
      </c>
    </row>
    <row r="29">
      <c r="A29" t="inlineStr">
        <is>
          <t>Personal Care</t>
        </is>
      </c>
      <c r="B29" t="inlineStr">
        <is>
          <t>2026-04</t>
        </is>
      </c>
      <c r="C29" t="n">
        <v>11</v>
      </c>
      <c r="D29" t="n">
        <v>2385</v>
      </c>
      <c r="E29" t="n">
        <v>216.82</v>
      </c>
    </row>
    <row r="30">
      <c r="A30" t="inlineStr">
        <is>
          <t>Personal Care</t>
        </is>
      </c>
      <c r="B30" t="inlineStr">
        <is>
          <t>2026-05</t>
        </is>
      </c>
      <c r="C30" t="n">
        <v>6</v>
      </c>
      <c r="D30" t="n">
        <v>1735</v>
      </c>
      <c r="E30" t="n">
        <v>289.17</v>
      </c>
    </row>
    <row r="31">
      <c r="A31" t="inlineStr">
        <is>
          <t>Personal Care</t>
        </is>
      </c>
      <c r="B31" t="inlineStr">
        <is>
          <t>2026-06</t>
        </is>
      </c>
      <c r="C31" t="n">
        <v>14</v>
      </c>
      <c r="D31" t="n">
        <v>3565</v>
      </c>
      <c r="E31" t="n">
        <v>254.64</v>
      </c>
    </row>
    <row r="32">
      <c r="A32" t="inlineStr">
        <is>
          <t>Snacks &amp; Beverages</t>
        </is>
      </c>
      <c r="B32" t="inlineStr">
        <is>
          <t>2026-01</t>
        </is>
      </c>
      <c r="C32" t="n">
        <v>15</v>
      </c>
      <c r="D32" t="n">
        <v>2590</v>
      </c>
      <c r="E32" t="n">
        <v>172.67</v>
      </c>
    </row>
    <row r="33">
      <c r="A33" t="inlineStr">
        <is>
          <t>Snacks &amp; Beverages</t>
        </is>
      </c>
      <c r="B33" t="inlineStr">
        <is>
          <t>2026-02</t>
        </is>
      </c>
      <c r="C33" t="n">
        <v>5</v>
      </c>
      <c r="D33" t="n">
        <v>480</v>
      </c>
      <c r="E33" t="n">
        <v>96</v>
      </c>
    </row>
    <row r="34">
      <c r="A34" t="inlineStr">
        <is>
          <t>Snacks &amp; Beverages</t>
        </is>
      </c>
      <c r="B34" t="inlineStr">
        <is>
          <t>2026-03</t>
        </is>
      </c>
      <c r="C34" t="n">
        <v>16</v>
      </c>
      <c r="D34" t="n">
        <v>3165</v>
      </c>
      <c r="E34" t="n">
        <v>197.81</v>
      </c>
    </row>
    <row r="35">
      <c r="A35" t="inlineStr">
        <is>
          <t>Snacks &amp; Beverages</t>
        </is>
      </c>
      <c r="B35" t="inlineStr">
        <is>
          <t>2026-04</t>
        </is>
      </c>
      <c r="C35" t="n">
        <v>10</v>
      </c>
      <c r="D35" t="n">
        <v>2410</v>
      </c>
      <c r="E35" t="n">
        <v>241</v>
      </c>
    </row>
    <row r="36">
      <c r="A36" t="inlineStr">
        <is>
          <t>Snacks &amp; Beverages</t>
        </is>
      </c>
      <c r="B36" t="inlineStr">
        <is>
          <t>2026-05</t>
        </is>
      </c>
      <c r="C36" t="n">
        <v>14</v>
      </c>
      <c r="D36" t="n">
        <v>2290</v>
      </c>
      <c r="E36" t="n">
        <v>163.57</v>
      </c>
    </row>
    <row r="37">
      <c r="A37" t="inlineStr">
        <is>
          <t>Snacks &amp; Beverages</t>
        </is>
      </c>
      <c r="B37" t="inlineStr">
        <is>
          <t>2026-06</t>
        </is>
      </c>
      <c r="C37" t="n">
        <v>11</v>
      </c>
      <c r="D37" t="n">
        <v>2115</v>
      </c>
      <c r="E37" t="n">
        <v>192.27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t="inlineStr">
        <is>
          <t>category</t>
        </is>
      </c>
      <c r="B1" t="inlineStr">
        <is>
          <t>target_revenue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SUM of total_revenue</t>
        </is>
      </c>
      <c r="C1" t="inlineStr">
        <is>
          <t>SUM of order_count</t>
        </is>
      </c>
    </row>
    <row r="2">
      <c r="A2" t="inlineStr">
        <is>
          <t>Fruits &amp; Vegetables</t>
        </is>
      </c>
      <c r="B2" t="n">
        <v>11420</v>
      </c>
      <c r="C2" t="n">
        <v>68</v>
      </c>
    </row>
    <row r="3">
      <c r="A3" t="inlineStr">
        <is>
          <t>Dairy &amp; Eggs</t>
        </is>
      </c>
      <c r="B3" t="n">
        <v>13126</v>
      </c>
      <c r="C3" t="n">
        <v>69</v>
      </c>
    </row>
    <row r="4">
      <c r="A4" t="inlineStr">
        <is>
          <t>Snacks &amp; Beverages</t>
        </is>
      </c>
      <c r="B4" t="n">
        <v>13050</v>
      </c>
      <c r="C4" t="n">
        <v>71</v>
      </c>
    </row>
    <row r="5">
      <c r="A5" t="inlineStr">
        <is>
          <t>Personal Care</t>
        </is>
      </c>
      <c r="B5" t="n">
        <v>17500</v>
      </c>
      <c r="C5" t="n">
        <v>67</v>
      </c>
    </row>
    <row r="6">
      <c r="A6" t="inlineStr">
        <is>
          <t>Household Essentials</t>
        </is>
      </c>
      <c r="B6" t="n">
        <v>36205</v>
      </c>
      <c r="C6" t="n">
        <v>90</v>
      </c>
    </row>
    <row r="7">
      <c r="A7" t="inlineStr">
        <is>
          <t>Bakery</t>
        </is>
      </c>
      <c r="B7" t="n">
        <v>16285</v>
      </c>
      <c r="C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5" customWidth="1" min="3" max="3"/>
    <col width="14" customWidth="1" min="4" max="4"/>
    <col width="19" customWidth="1" min="5" max="5"/>
    <col width="35" customWidth="1" min="6" max="6"/>
    <col width="14" customWidth="1" min="7" max="7"/>
    <col width="35" customWidth="1" min="8" max="8"/>
  </cols>
  <sheetData>
    <row r="1">
      <c r="A1" t="inlineStr">
        <is>
          <t>category</t>
        </is>
      </c>
      <c r="B1" t="inlineStr">
        <is>
          <t>Total Revenue</t>
        </is>
      </c>
      <c r="C1" t="inlineStr">
        <is>
          <t>Target</t>
        </is>
      </c>
      <c r="D1" t="inlineStr">
        <is>
          <t>Variance</t>
        </is>
      </c>
      <c r="E1" t="inlineStr">
        <is>
          <t>% Variance</t>
        </is>
      </c>
      <c r="F1" t="inlineStr">
        <is>
          <t>Tier</t>
        </is>
      </c>
      <c r="G1" t="inlineStr">
        <is>
          <t>SQL Total</t>
        </is>
      </c>
      <c r="H1" t="inlineStr">
        <is>
          <t>Reconciliation</t>
        </is>
      </c>
    </row>
    <row r="2">
      <c r="A2" t="inlineStr">
        <is>
          <t>Fruits &amp; Vegetables</t>
        </is>
      </c>
      <c r="B2">
        <f>'Pivot Table'!B2</f>
        <v/>
      </c>
      <c r="C2">
        <f>XLOOKUP(A2,'Category Targets'!$A$2:$A$7,'Category Targets'!$B$2:$B$7,0)</f>
        <v/>
      </c>
      <c r="D2">
        <f>B2-C2</f>
        <v/>
      </c>
      <c r="E2">
        <f>IFERROR(D2/C2,0)</f>
        <v/>
      </c>
      <c r="F2">
        <f>IF(B2&gt;=C2,"Meeting Target",IF(B2&gt;=0.9*C2,"Near Target","Below Target"))</f>
        <v/>
      </c>
      <c r="G2" t="n">
        <v>11420</v>
      </c>
      <c r="H2">
        <f>IF(ROUND(B2,2)=ROUND(G2,2),"OK","CHECK")</f>
        <v/>
      </c>
    </row>
    <row r="3">
      <c r="A3" t="inlineStr">
        <is>
          <t>Dairy &amp; Eggs</t>
        </is>
      </c>
      <c r="B3">
        <f>'Pivot Table'!B3</f>
        <v/>
      </c>
      <c r="C3">
        <f>XLOOKUP(A3,'Category Targets'!$A$2:$A$7,'Category Targets'!$B$2:$B$7,0)</f>
        <v/>
      </c>
      <c r="D3">
        <f>B3-C3</f>
        <v/>
      </c>
      <c r="E3">
        <f>IFERROR(D3/C3,0)</f>
        <v/>
      </c>
      <c r="F3">
        <f>IF(B3&gt;=C3,"Meeting Target",IF(B3&gt;=0.9*C3,"Near Target","Below Target"))</f>
        <v/>
      </c>
      <c r="G3" t="n">
        <v>13126</v>
      </c>
      <c r="H3">
        <f>IF(ROUND(B3,2)=ROUND(G3,2),"OK","CHECK")</f>
        <v/>
      </c>
    </row>
    <row r="4">
      <c r="A4" t="inlineStr">
        <is>
          <t>Snacks &amp; Beverages</t>
        </is>
      </c>
      <c r="B4">
        <f>'Pivot Table'!B4</f>
        <v/>
      </c>
      <c r="C4">
        <f>XLOOKUP(A4,'Category Targets'!$A$2:$A$7,'Category Targets'!$B$2:$B$7,0)</f>
        <v/>
      </c>
      <c r="D4">
        <f>B4-C4</f>
        <v/>
      </c>
      <c r="E4">
        <f>IFERROR(D4/C4,0)</f>
        <v/>
      </c>
      <c r="F4">
        <f>IF(B4&gt;=C4,"Meeting Target",IF(B4&gt;=0.9*C4,"Near Target","Below Target"))</f>
        <v/>
      </c>
      <c r="G4" t="n">
        <v>13050</v>
      </c>
      <c r="H4">
        <f>IF(ROUND(B4,2)=ROUND(G4,2),"OK","CHECK")</f>
        <v/>
      </c>
    </row>
    <row r="5">
      <c r="A5" t="inlineStr">
        <is>
          <t>Personal Care</t>
        </is>
      </c>
      <c r="B5">
        <f>'Pivot Table'!B5</f>
        <v/>
      </c>
      <c r="C5">
        <f>XLOOKUP(A5,'Category Targets'!$A$2:$A$7,'Category Targets'!$B$2:$B$7,0)</f>
        <v/>
      </c>
      <c r="D5">
        <f>B5-C5</f>
        <v/>
      </c>
      <c r="E5">
        <f>IFERROR(D5/C5,0)</f>
        <v/>
      </c>
      <c r="F5">
        <f>IF(B5&gt;=C5,"Meeting Target",IF(B5&gt;=0.9*C5,"Near Target","Below Target"))</f>
        <v/>
      </c>
      <c r="G5" t="n">
        <v>17500</v>
      </c>
      <c r="H5">
        <f>IF(ROUND(B5,2)=ROUND(G5,2),"OK","CHECK")</f>
        <v/>
      </c>
    </row>
    <row r="6">
      <c r="A6" t="inlineStr">
        <is>
          <t>Household Essentials</t>
        </is>
      </c>
      <c r="B6">
        <f>'Pivot Table'!B6</f>
        <v/>
      </c>
      <c r="C6">
        <f>XLOOKUP(A6,'Category Targets'!$A$2:$A$7,'Category Targets'!$B$2:$B$7,0)</f>
        <v/>
      </c>
      <c r="D6">
        <f>B6-C6</f>
        <v/>
      </c>
      <c r="E6">
        <f>IFERROR(D6/C6,0)</f>
        <v/>
      </c>
      <c r="F6">
        <f>IF(B6&gt;=C6,"Meeting Target",IF(B6&gt;=0.9*C6,"Near Target","Below Target"))</f>
        <v/>
      </c>
      <c r="G6" t="n">
        <v>36205</v>
      </c>
      <c r="H6">
        <f>IF(ROUND(B6,2)=ROUND(G6,2),"OK","CHECK")</f>
        <v/>
      </c>
    </row>
    <row r="7">
      <c r="A7" t="inlineStr">
        <is>
          <t>Bakery</t>
        </is>
      </c>
      <c r="B7">
        <f>'Pivot Table'!B7</f>
        <v/>
      </c>
      <c r="C7">
        <f>XLOOKUP(A7,'Category Targets'!$A$2:$A$7,'Category Targets'!$B$2:$B$7,0)</f>
        <v/>
      </c>
      <c r="D7">
        <f>B7-C7</f>
        <v/>
      </c>
      <c r="E7">
        <f>IFERROR(D7/C7,0)</f>
        <v/>
      </c>
      <c r="F7">
        <f>IF(B7&gt;=C7,"Meeting Target",IF(B7&gt;=0.9*C7,"Near Target","Below Target"))</f>
        <v/>
      </c>
      <c r="G7" t="n">
        <v>16285</v>
      </c>
      <c r="H7">
        <f>IF(ROUND(B7,2)=ROUND(G7,2),"OK","CHECK")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2026-09-16T18:08:26Z</dcterms:created>
  <dcterms:modified xmlns:dcterms="http://purl.org/dc/terms/" xmlns:xsi="http://www.w3.org/2001/XMLSchema-instance" xsi:type="dcterms:W3CDTF">2026-09-16T18:08:26Z</dcterms:modified>
</cp:coreProperties>
</file>